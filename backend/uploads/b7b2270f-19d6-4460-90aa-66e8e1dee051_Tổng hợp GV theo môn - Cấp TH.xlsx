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8EC8698-14F0-4003-8B5F-096B37208D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3" i="2" l="1"/>
  <c r="P7" i="2"/>
  <c r="P8" i="2"/>
  <c r="P9" i="2"/>
  <c r="P10" i="2"/>
  <c r="P11" i="2"/>
  <c r="P12" i="2"/>
  <c r="P6" i="2"/>
  <c r="M13" i="2"/>
  <c r="K13" i="2" l="1"/>
  <c r="J13" i="2"/>
  <c r="G13" i="2"/>
  <c r="E7" i="2"/>
  <c r="E8" i="2"/>
  <c r="E9" i="2"/>
  <c r="E10" i="2"/>
  <c r="E11" i="2"/>
  <c r="E12" i="2"/>
  <c r="E6" i="2"/>
  <c r="Q13" i="2"/>
  <c r="O13" i="2"/>
  <c r="N13" i="2"/>
  <c r="L13" i="2"/>
  <c r="I13" i="2"/>
  <c r="H13" i="2"/>
  <c r="F13" i="2"/>
  <c r="D13" i="2"/>
  <c r="C13" i="2"/>
  <c r="E13" i="2" l="1"/>
</calcChain>
</file>

<file path=xl/sharedStrings.xml><?xml version="1.0" encoding="utf-8"?>
<sst xmlns="http://schemas.openxmlformats.org/spreadsheetml/2006/main" count="29" uniqueCount="29">
  <si>
    <t>UBND XÃ ĐA PHÚC</t>
  </si>
  <si>
    <t>TT</t>
  </si>
  <si>
    <t>Số lớp</t>
  </si>
  <si>
    <t>Số HS</t>
  </si>
  <si>
    <t>NN1</t>
  </si>
  <si>
    <t>GDTC</t>
  </si>
  <si>
    <t>Nghệ thuật</t>
  </si>
  <si>
    <t>MT</t>
  </si>
  <si>
    <t>AN</t>
  </si>
  <si>
    <t xml:space="preserve">Tổng: </t>
  </si>
  <si>
    <t>Việt Long</t>
  </si>
  <si>
    <t>Xuân Thu</t>
  </si>
  <si>
    <t>Tỷ lệ/lớp</t>
  </si>
  <si>
    <t>Tổng số hiện có</t>
  </si>
  <si>
    <t>BIỂU CƠ CẤU GIÁO VIÊN THEO  BỘ MÔN CẤP TH</t>
  </si>
  <si>
    <t>Trường TH</t>
  </si>
  <si>
    <t>Tân Hưng</t>
  </si>
  <si>
    <t>Bắc Phú</t>
  </si>
  <si>
    <t>Đức Hòa</t>
  </si>
  <si>
    <t>Xuân Giang</t>
  </si>
  <si>
    <t>Kim Lũ</t>
  </si>
  <si>
    <t>Cơ bản</t>
  </si>
  <si>
    <t>Tin &amp; CN</t>
  </si>
  <si>
    <t>Tổng số Gv theo định mức</t>
  </si>
  <si>
    <t>Biên chế được giao 2025</t>
  </si>
  <si>
    <t>Còn thiếu so với định biên</t>
  </si>
  <si>
    <t>So với biên chế giao năm 2025</t>
  </si>
  <si>
    <t>Số chỉ tiêu HĐ giao</t>
  </si>
  <si>
    <t>Đề nghị các trường cập nhật số GV hiện có của đơn vị theo môn vào cột tô màu vàng. Không sửa chữa vào cột trắng.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</si>
</sst>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1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6" xfId="0" applyFont="1" applyBorder="1" applyAlignment="1">
      <alignment horizontal="left" vertical="top"/>
    </xf>
    <xf numFmtId="0" fontId="1" fillId="0" borderId="1" xfId="0" applyFont="1" applyBorder="1"/>
    <xf numFmtId="0" fontId="2" fillId="0" borderId="6" xfId="0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0" fontId="3" fillId="0" borderId="0" xfId="0" applyFont="1"/>
    <xf numFmtId="0" fontId="4" fillId="0" borderId="1" xfId="0" applyFont="1" applyBorder="1" applyAlignment="1">
      <alignment vertical="top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6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1" fillId="2" borderId="1" xfId="0" applyFont="1" applyFill="1" applyBorder="1"/>
    <xf numFmtId="0" fontId="3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workbookViewId="0">
      <selection activeCell="K22" sqref="K22"/>
    </sheetView>
  </sheetViews>
  <sheetFormatPr defaultRowHeight="14.4" x14ac:dyDescent="0.3"/>
  <cols>
    <col min="1" max="1" width="6.33203125" customWidth="1"/>
    <col min="2" max="2" width="10.33203125" customWidth="1"/>
    <col min="16" max="16" width="9.6640625" customWidth="1"/>
    <col min="17" max="17" width="10.109375" customWidth="1"/>
  </cols>
  <sheetData>
    <row r="1" spans="1:17" ht="15.6" x14ac:dyDescent="0.3">
      <c r="A1" s="17" t="s">
        <v>0</v>
      </c>
      <c r="B1" s="17"/>
      <c r="C1" s="17"/>
      <c r="D1" s="8"/>
      <c r="E1" s="8"/>
      <c r="F1" s="8"/>
      <c r="G1" s="8"/>
    </row>
    <row r="2" spans="1:17" ht="15.6" x14ac:dyDescent="0.3">
      <c r="A2" s="8"/>
      <c r="B2" s="8"/>
      <c r="C2" s="17" t="s">
        <v>14</v>
      </c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7" ht="12.75" customHeight="1" x14ac:dyDescent="0.3"/>
    <row r="4" spans="1:17" x14ac:dyDescent="0.3">
      <c r="A4" s="18" t="s">
        <v>1</v>
      </c>
      <c r="B4" s="20" t="s">
        <v>15</v>
      </c>
      <c r="C4" s="18" t="s">
        <v>2</v>
      </c>
      <c r="D4" s="18" t="s">
        <v>3</v>
      </c>
      <c r="E4" s="18" t="s">
        <v>12</v>
      </c>
      <c r="F4" s="26" t="s">
        <v>21</v>
      </c>
      <c r="G4" s="26" t="s">
        <v>5</v>
      </c>
      <c r="H4" s="22" t="s">
        <v>6</v>
      </c>
      <c r="I4" s="23"/>
      <c r="J4" s="26" t="s">
        <v>4</v>
      </c>
      <c r="K4" s="26" t="s">
        <v>22</v>
      </c>
      <c r="L4" s="20" t="s">
        <v>23</v>
      </c>
      <c r="M4" s="20" t="s">
        <v>24</v>
      </c>
      <c r="N4" s="20" t="s">
        <v>13</v>
      </c>
      <c r="O4" s="20" t="s">
        <v>25</v>
      </c>
      <c r="P4" s="20" t="s">
        <v>26</v>
      </c>
      <c r="Q4" s="20" t="s">
        <v>27</v>
      </c>
    </row>
    <row r="5" spans="1:17" ht="42.75" customHeight="1" x14ac:dyDescent="0.3">
      <c r="A5" s="19"/>
      <c r="B5" s="21"/>
      <c r="C5" s="19"/>
      <c r="D5" s="19"/>
      <c r="E5" s="19"/>
      <c r="F5" s="27"/>
      <c r="G5" s="27"/>
      <c r="H5" s="14" t="s">
        <v>7</v>
      </c>
      <c r="I5" s="14" t="s">
        <v>8</v>
      </c>
      <c r="J5" s="27"/>
      <c r="K5" s="27"/>
      <c r="L5" s="24"/>
      <c r="M5" s="24"/>
      <c r="N5" s="24"/>
      <c r="O5" s="21"/>
      <c r="P5" s="21"/>
      <c r="Q5" s="21"/>
    </row>
    <row r="6" spans="1:17" x14ac:dyDescent="0.3">
      <c r="A6" s="2">
        <v>1</v>
      </c>
      <c r="B6" s="4" t="s">
        <v>16</v>
      </c>
      <c r="C6" s="6">
        <v>27</v>
      </c>
      <c r="D6" s="6">
        <v>1117</v>
      </c>
      <c r="E6" s="7">
        <f>D6/C6</f>
        <v>41.370370370370374</v>
      </c>
      <c r="F6" s="15"/>
      <c r="G6" s="15"/>
      <c r="H6" s="15"/>
      <c r="I6" s="15"/>
      <c r="J6" s="15"/>
      <c r="K6" s="15"/>
      <c r="L6" s="13">
        <v>40.5</v>
      </c>
      <c r="M6" s="13">
        <v>48</v>
      </c>
      <c r="N6" s="11">
        <v>36</v>
      </c>
      <c r="O6" s="6">
        <v>4.5</v>
      </c>
      <c r="P6" s="6">
        <f>M6-N6</f>
        <v>12</v>
      </c>
      <c r="Q6" s="10">
        <v>8</v>
      </c>
    </row>
    <row r="7" spans="1:17" x14ac:dyDescent="0.3">
      <c r="A7" s="2">
        <v>2</v>
      </c>
      <c r="B7" s="4" t="s">
        <v>17</v>
      </c>
      <c r="C7" s="6">
        <v>26</v>
      </c>
      <c r="D7" s="6">
        <v>1015</v>
      </c>
      <c r="E7" s="7">
        <f t="shared" ref="E7:E12" si="0">D7/C7</f>
        <v>39.03846153846154</v>
      </c>
      <c r="F7" s="15">
        <v>25</v>
      </c>
      <c r="G7" s="15">
        <v>3</v>
      </c>
      <c r="H7" s="15">
        <v>2</v>
      </c>
      <c r="I7" s="15">
        <v>2</v>
      </c>
      <c r="J7" s="15">
        <v>3</v>
      </c>
      <c r="K7" s="15">
        <v>2</v>
      </c>
      <c r="L7" s="13">
        <v>39</v>
      </c>
      <c r="M7" s="13">
        <v>42</v>
      </c>
      <c r="N7" s="11">
        <v>37</v>
      </c>
      <c r="O7" s="6">
        <v>2</v>
      </c>
      <c r="P7" s="6">
        <f t="shared" ref="P7:P12" si="1">M7-N7</f>
        <v>5</v>
      </c>
      <c r="Q7" s="10">
        <v>5</v>
      </c>
    </row>
    <row r="8" spans="1:17" x14ac:dyDescent="0.3">
      <c r="A8" s="2">
        <v>3</v>
      </c>
      <c r="B8" s="4" t="s">
        <v>18</v>
      </c>
      <c r="C8" s="6">
        <v>28</v>
      </c>
      <c r="D8" s="6">
        <v>944</v>
      </c>
      <c r="E8" s="7">
        <f t="shared" si="0"/>
        <v>33.714285714285715</v>
      </c>
      <c r="F8" s="15"/>
      <c r="G8" s="15"/>
      <c r="H8" s="15"/>
      <c r="I8" s="15"/>
      <c r="J8" s="15"/>
      <c r="K8" s="15"/>
      <c r="L8" s="13">
        <v>42</v>
      </c>
      <c r="M8" s="13">
        <v>45</v>
      </c>
      <c r="N8" s="12">
        <v>39</v>
      </c>
      <c r="O8" s="6">
        <v>3</v>
      </c>
      <c r="P8" s="6">
        <f t="shared" si="1"/>
        <v>6</v>
      </c>
      <c r="Q8" s="10">
        <v>6</v>
      </c>
    </row>
    <row r="9" spans="1:17" x14ac:dyDescent="0.3">
      <c r="A9" s="2">
        <v>4</v>
      </c>
      <c r="B9" s="4" t="s">
        <v>19</v>
      </c>
      <c r="C9" s="6">
        <v>31</v>
      </c>
      <c r="D9" s="6">
        <v>1087</v>
      </c>
      <c r="E9" s="7">
        <f t="shared" si="0"/>
        <v>35.064516129032256</v>
      </c>
      <c r="F9" s="15"/>
      <c r="G9" s="15"/>
      <c r="H9" s="15"/>
      <c r="I9" s="15"/>
      <c r="J9" s="15"/>
      <c r="K9" s="15"/>
      <c r="L9" s="13">
        <v>46.5</v>
      </c>
      <c r="M9" s="13">
        <v>47</v>
      </c>
      <c r="N9" s="12">
        <v>43</v>
      </c>
      <c r="O9" s="6">
        <v>3.5</v>
      </c>
      <c r="P9" s="6">
        <f t="shared" si="1"/>
        <v>4</v>
      </c>
      <c r="Q9" s="10">
        <v>3</v>
      </c>
    </row>
    <row r="10" spans="1:17" x14ac:dyDescent="0.3">
      <c r="A10" s="2">
        <v>5</v>
      </c>
      <c r="B10" s="4" t="s">
        <v>10</v>
      </c>
      <c r="C10" s="6">
        <v>26</v>
      </c>
      <c r="D10" s="6">
        <v>829</v>
      </c>
      <c r="E10" s="7">
        <f t="shared" si="0"/>
        <v>31.884615384615383</v>
      </c>
      <c r="F10" s="15"/>
      <c r="G10" s="15"/>
      <c r="H10" s="15"/>
      <c r="I10" s="15"/>
      <c r="J10" s="15"/>
      <c r="K10" s="15"/>
      <c r="L10" s="13">
        <v>39</v>
      </c>
      <c r="M10" s="13">
        <v>39</v>
      </c>
      <c r="N10" s="12">
        <v>30</v>
      </c>
      <c r="O10" s="6">
        <v>9</v>
      </c>
      <c r="P10" s="6">
        <f t="shared" si="1"/>
        <v>9</v>
      </c>
      <c r="Q10" s="10">
        <v>9</v>
      </c>
    </row>
    <row r="11" spans="1:17" x14ac:dyDescent="0.3">
      <c r="A11" s="2">
        <v>6</v>
      </c>
      <c r="B11" s="4" t="s">
        <v>11</v>
      </c>
      <c r="C11" s="6">
        <v>27</v>
      </c>
      <c r="D11" s="6">
        <v>787</v>
      </c>
      <c r="E11" s="7">
        <f t="shared" si="0"/>
        <v>29.148148148148149</v>
      </c>
      <c r="F11" s="15"/>
      <c r="G11" s="15"/>
      <c r="H11" s="15"/>
      <c r="I11" s="15"/>
      <c r="J11" s="15"/>
      <c r="K11" s="15"/>
      <c r="L11" s="13">
        <v>40.5</v>
      </c>
      <c r="M11" s="13">
        <v>42</v>
      </c>
      <c r="N11" s="12">
        <v>37</v>
      </c>
      <c r="O11" s="6">
        <v>3.5</v>
      </c>
      <c r="P11" s="6">
        <f t="shared" si="1"/>
        <v>5</v>
      </c>
      <c r="Q11" s="10">
        <v>5</v>
      </c>
    </row>
    <row r="12" spans="1:17" x14ac:dyDescent="0.3">
      <c r="A12" s="2">
        <v>7</v>
      </c>
      <c r="B12" s="4" t="s">
        <v>20</v>
      </c>
      <c r="C12" s="6">
        <v>31</v>
      </c>
      <c r="D12" s="6">
        <v>1063</v>
      </c>
      <c r="E12" s="7">
        <f t="shared" si="0"/>
        <v>34.29032258064516</v>
      </c>
      <c r="F12" s="15"/>
      <c r="G12" s="15"/>
      <c r="H12" s="15"/>
      <c r="I12" s="15"/>
      <c r="J12" s="15"/>
      <c r="K12" s="15"/>
      <c r="L12" s="13">
        <v>46.5</v>
      </c>
      <c r="M12" s="13">
        <v>49</v>
      </c>
      <c r="N12" s="12">
        <v>45</v>
      </c>
      <c r="O12" s="6">
        <v>1.5</v>
      </c>
      <c r="P12" s="6">
        <f t="shared" si="1"/>
        <v>4</v>
      </c>
      <c r="Q12" s="10">
        <v>4</v>
      </c>
    </row>
    <row r="13" spans="1:17" x14ac:dyDescent="0.3">
      <c r="A13" s="1"/>
      <c r="B13" s="3" t="s">
        <v>9</v>
      </c>
      <c r="C13" s="3">
        <f>SUM(C6:C12)</f>
        <v>196</v>
      </c>
      <c r="D13" s="3">
        <f>SUM(D6:D12)</f>
        <v>6842</v>
      </c>
      <c r="E13" s="9">
        <f t="shared" ref="E13" si="2">D13/C13</f>
        <v>34.908163265306122</v>
      </c>
      <c r="F13" s="16">
        <f t="shared" ref="F13:Q13" si="3">SUM(F6:F12)</f>
        <v>25</v>
      </c>
      <c r="G13" s="16">
        <f t="shared" si="3"/>
        <v>3</v>
      </c>
      <c r="H13" s="16">
        <f t="shared" si="3"/>
        <v>2</v>
      </c>
      <c r="I13" s="16">
        <f t="shared" si="3"/>
        <v>2</v>
      </c>
      <c r="J13" s="16">
        <f t="shared" si="3"/>
        <v>3</v>
      </c>
      <c r="K13" s="16">
        <f t="shared" si="3"/>
        <v>2</v>
      </c>
      <c r="L13" s="5">
        <f t="shared" si="3"/>
        <v>294</v>
      </c>
      <c r="M13" s="5">
        <f>SUM(M6:M12)</f>
        <v>312</v>
      </c>
      <c r="N13" s="3">
        <f t="shared" si="3"/>
        <v>267</v>
      </c>
      <c r="O13" s="3">
        <f t="shared" si="3"/>
        <v>27</v>
      </c>
      <c r="P13" s="3">
        <f>SUM(P6:P12)</f>
        <v>45</v>
      </c>
      <c r="Q13" s="3">
        <f t="shared" si="3"/>
        <v>40</v>
      </c>
    </row>
    <row r="16" spans="1:17" ht="19.5" customHeight="1" x14ac:dyDescent="0.3">
      <c r="C16" s="25" t="s">
        <v>28</v>
      </c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</row>
  </sheetData>
  <mergeCells count="19">
    <mergeCell ref="C16:O16"/>
    <mergeCell ref="N4:N5"/>
    <mergeCell ref="O4:O5"/>
    <mergeCell ref="Q4:Q5"/>
    <mergeCell ref="K4:K5"/>
    <mergeCell ref="J4:J5"/>
    <mergeCell ref="M4:M5"/>
    <mergeCell ref="P4:P5"/>
    <mergeCell ref="E4:E5"/>
    <mergeCell ref="F4:F5"/>
    <mergeCell ref="G4:G5"/>
    <mergeCell ref="C2:M2"/>
    <mergeCell ref="A1:C1"/>
    <mergeCell ref="A4:A5"/>
    <mergeCell ref="B4:B5"/>
    <mergeCell ref="C4:C5"/>
    <mergeCell ref="D4:D5"/>
    <mergeCell ref="H4:I4"/>
    <mergeCell ref="L4:L5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2025-09-19T10:48:24Z</dcterms:modified>
</cp:coreProperties>
</file>